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f7abaebb5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36e74bb6328c4081"/>
    <x:sheet xmlns:r="http://schemas.openxmlformats.org/officeDocument/2006/relationships" name="参数问题明细" sheetId="2" r:id="Rc76c7dc9e5034e1c"/>
    <x:sheet xmlns:r="http://schemas.openxmlformats.org/officeDocument/2006/relationships" name="兜底解决方案" sheetId="3" r:id="Rd128b42821b44c3d"/>
    <x:sheet xmlns:r="http://schemas.openxmlformats.org/officeDocument/2006/relationships" name="当前无法解决" sheetId="4" r:id="R20825b3bf7254a5b"/>
    <x:sheet xmlns:r="http://schemas.openxmlformats.org/officeDocument/2006/relationships" name="分析依据" sheetId="5" r:id="R6caddb5ca88e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07080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0"/>
      <x:color rgb="FF203040"/>
      <x:name val="Carlito"/>
    </x:font>
    <x:font>
      <x:b/>
      <x:sz val="16"/>
      <x:color rgb="FF17324D"/>
      <x:name val="Carlito"/>
    </x:font>
    <x:font>
      <x:b/>
      <x:sz val="12"/>
      <x:color rgb="FF20304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8FAFC"/>
      </x:patternFill>
    </x:fill>
    <x:fill>
      <x:patternFill patternType="solid">
        <x:fgColor rgb="FF9A5B2F"/>
      </x:patternFill>
    </x:fill>
    <x:fill>
      <x:patternFill patternType="solid">
        <x:fgColor rgb="FF2A7F7F"/>
      </x:patternFill>
    </x:fill>
    <x:fill>
      <x:patternFill patternType="solid">
        <x:fgColor rgb="FFE8F4F2"/>
      </x:patternFill>
    </x:fill>
    <x:fill>
      <x:patternFill patternType="solid">
        <x:fgColor rgb="FFFFF4D6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medium">
        <x:color rgb="FFC8892F"/>
      </x:left>
      <x:top style="medium">
        <x:color rgb="FFC8892F"/>
      </x:top>
    </x:border>
    <x:border>
      <x:top style="medium">
        <x:color rgb="FFC8892F"/>
      </x:top>
    </x:border>
    <x:border>
      <x:right style="medium">
        <x:color rgb="FFC8892F"/>
      </x:right>
      <x:top style="medium">
        <x:color rgb="FFC8892F"/>
      </x:top>
    </x:border>
    <x:border>
      <x:left style="medium">
        <x:color rgb="FFC8892F"/>
      </x:left>
      <x:bottom style="medium">
        <x:color rgb="FFC8892F"/>
      </x:bottom>
    </x:border>
    <x:border>
      <x:bottom style="medium">
        <x:color rgb="FFC8892F"/>
      </x:bottom>
    </x:border>
    <x:border>
      <x:right style="medium">
        <x:color rgb="FFC8892F"/>
      </x:right>
      <x:bottom style="medium">
        <x:color rgb="FFC8892F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2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vertical="center" wrapText="1"/>
    </x:xf>
    <x:xf numFmtId="0" fontId="7" fillId="9" borderId="3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7" fillId="9" borderId="6" xfId="0" applyNumberFormat="1" applyFont="1" applyFill="1" applyBorder="1" applyAlignment="1">
      <x:alignment vertical="center" wrapText="1"/>
    </x:xf>
    <x:xf numFmtId="0" fontId="7" fillId="9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8418b5f3b41e4" /><Relationship Type="http://schemas.openxmlformats.org/officeDocument/2006/relationships/theme" Target="/xl/theme/theme1.xml" Id="Ra846ad6b8e7e43e0" /><Relationship Type="http://schemas.openxmlformats.org/officeDocument/2006/relationships/sharedStrings" Target="/xl/sharedStrings.xml" Id="Re685f6b0a61f4327" /><Relationship Type="http://schemas.openxmlformats.org/officeDocument/2006/relationships/worksheet" Target="/xl/worksheets/sheet1.xml" Id="R36e74bb6328c4081" /><Relationship Type="http://schemas.openxmlformats.org/officeDocument/2006/relationships/worksheet" Target="/xl/worksheets/sheet2.xml" Id="Rc76c7dc9e5034e1c" /><Relationship Type="http://schemas.openxmlformats.org/officeDocument/2006/relationships/worksheet" Target="/xl/worksheets/sheet3.xml" Id="Rd128b42821b44c3d" /><Relationship Type="http://schemas.openxmlformats.org/officeDocument/2006/relationships/worksheet" Target="/xl/worksheets/sheet4.xml" Id="R20825b3bf7254a5b" /><Relationship Type="http://schemas.openxmlformats.org/officeDocument/2006/relationships/worksheet" Target="/xl/worksheets/sheet5.xml" Id="R6caddb5ca88e42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43" hidden="0" customWidth="1"/>
    <x:col min="4" max="4" width="4" hidden="0" customWidth="1"/>
    <x:col min="5" max="5" width="16" hidden="0" customWidth="1"/>
    <x:col min="6" max="6" width="13" hidden="0" customWidth="1"/>
    <x:col min="7" max="7" width="43" hidden="0" customWidth="1"/>
    <x:col min="8" max="8" width="4" hidden="0" customWidth="1"/>
  </x:cols>
  <x:sheetData>
    <x:row r="1" ht="34" customHeight="1">
      <x:c r="A1" s="4" t="str">
        <x:v>Whiteboard CLI 参数幻觉复核总览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分析基线 f4474b57eb1db23b1638b9574be2f5dca368a360｜正式别名表已落地｜已合并 main@e9de6856｜报告、五页工作簿独立交付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6" t="str">
        <x:v>产品：Whiteboard</x:v>
      </x:c>
      <x:c r="B4" s="36"/>
      <x:c r="C4" s="36" t="str">
        <x:v>覆盖命令：2</x:v>
      </x:c>
      <x:c r="D4" s="36"/>
      <x:c r="E4" s="36" t="str">
        <x:v>正式：internal/cli/param_concepts.json</x:v>
      </x:c>
      <x:c r="F4" s="36"/>
      <x:c r="G4" s="36" t="str">
        <x:v>验证：全部门禁通过</x:v>
      </x:c>
      <x:c r="H4" s="36"/>
    </x:row>
    <x:row r="6" ht="38" customHeight="1">
      <x:c r="A6" s="38" t="str">
        <x:v>分析命令数</x:v>
      </x:c>
      <x:c r="B6" s="42" t="n">
        <x:f>COUNTA('参数问题明细'!B5:B6)</x:f>
        <x:v>2</x:v>
      </x:c>
      <x:c r="C6" s="38" t="str">
        <x:v>可自动兜底</x:v>
      </x:c>
      <x:c r="D6" s="42" t="n">
        <x:f>COUNTIF('参数问题明细'!F5:F6,"可自动兜底")</x:f>
        <x:v>0</x:v>
      </x:c>
      <x:c r="E6" s="38" t="str">
        <x:v>部分兜底</x:v>
      </x:c>
      <x:c r="F6" s="42" t="n">
        <x:f>COUNTIF('参数问题明细'!F5:F6,"部分兜底")</x:f>
        <x:v>0</x:v>
      </x:c>
      <x:c r="G6" s="38" t="str">
        <x:v>仅保护</x:v>
      </x:c>
      <x:c r="H6" s="42" t="n">
        <x:f>COUNTIF('参数问题明细'!F5:F6,"仅保护")</x:f>
        <x:v>2</x:v>
      </x:c>
    </x:row>
    <x:row r="8">
      <x:c r="A8" s="57" t="str">
        <x:v>结论：2 个命令的参数事实已完成，但当前 param_concepts 生成源树不可达，正式表继续保持 Whiteboard 零差异；update 的裸文件路径还需要补 @，也不满足值保持别名条件。</x:v>
      </x:c>
      <x:c r="B8" s="58"/>
      <x:c r="C8" s="58"/>
      <x:c r="D8" s="58"/>
      <x:c r="E8" s="58"/>
      <x:c r="F8" s="58"/>
      <x:c r="G8" s="58"/>
      <x:c r="H8" s="59"/>
    </x:row>
    <x:row r="9">
      <x:c r="A9" s="60"/>
      <x:c r="B9" s="61"/>
      <x:c r="C9" s="61"/>
      <x:c r="D9" s="61"/>
      <x:c r="E9" s="61"/>
      <x:c r="F9" s="61"/>
      <x:c r="G9" s="61"/>
      <x:c r="H9" s="62"/>
    </x:row>
    <x:row r="11">
      <x:c r="A11" s="65" t="str">
        <x:v>落地层级</x:v>
      </x:c>
      <x:c r="B11" s="65" t="str">
        <x:v>状态</x:v>
      </x:c>
      <x:c r="C11" s="65" t="str">
        <x:v>说明</x:v>
      </x:c>
      <x:c r="D11" s="65" t="str"/>
      <x:c r="E11" s="65" t="str">
        <x:v>落地层级</x:v>
      </x:c>
      <x:c r="F11" s="65" t="str">
        <x:v>状态</x:v>
      </x:c>
      <x:c r="G11" s="65" t="str">
        <x:v>说明</x:v>
      </x:c>
      <x:c r="H11" s="65" t="str"/>
    </x:row>
    <x:row r="12" ht="36" customHeight="1">
      <x:c r="A12" s="18" t="str">
        <x:v>Help/Schema/Skill 事实审计</x:v>
      </x:c>
      <x:c r="B12" s="18" t="str">
        <x:v>完成</x:v>
      </x:c>
      <x:c r="C12" s="18" t="str">
        <x:v>42 命令总盘点中的本产品范围</x:v>
      </x:c>
      <x:c r="D12" s="18" t="str"/>
      <x:c r="E12" s="18" t="str">
        <x:v>正式别名表</x:v>
      </x:c>
      <x:c r="F12" s="18" t="str">
        <x:v>已落地</x:v>
      </x:c>
      <x:c r="G12" s="18" t="str">
        <x:v>四产品规则已合入，Whiteboard 保持 0</x:v>
      </x:c>
      <x:c r="H12" s="18" t="str"/>
    </x:row>
    <x:row r="13" ht="36" customHeight="1">
      <x:c r="A13" s="18" t="str">
        <x:v>完整候选草稿</x:v>
      </x:c>
      <x:c r="B13" s="18" t="str">
        <x:v>完成</x:v>
      </x:c>
      <x:c r="C13" s="18" t="str">
        <x:v>单行紧凑格式，基于正式表完整复制</x:v>
      </x:c>
      <x:c r="D13" s="18" t="str"/>
      <x:c r="E13" s="18" t="str">
        <x:v>PreParse 与模板</x:v>
      </x:c>
      <x:c r="F13" s="18" t="str">
        <x:v>通过</x:v>
      </x:c>
      <x:c r="G13" s="18" t="str">
        <x:v>含确认不可绕过</x:v>
      </x:c>
      <x:c r="H13" s="18" t="str"/>
    </x:row>
    <x:row r="14" ht="36" customHeight="1">
      <x:c r="A14" s="18" t="str">
        <x:v>仓库政策</x:v>
      </x:c>
      <x:c r="B14" s="18" t="str">
        <x:v>通过</x:v>
      </x:c>
      <x:c r="C14" s="18" t="str">
        <x:v>generated drift + Schema catalog</x:v>
      </x:c>
      <x:c r="D14" s="18" t="str"/>
      <x:c r="E14" s="18" t="str">
        <x:v>XLSX 视觉核验</x:v>
      </x:c>
      <x:c r="F14" s="18" t="str">
        <x:v>完成</x:v>
      </x:c>
      <x:c r="G14" s="18" t="str">
        <x:v>五页中文工作簿</x:v>
      </x:c>
      <x:c r="H14" s="18" t="str"/>
    </x:row>
    <x:row r="15" ht="36" customHeight="1">
      <x:c r="A15" s="18" t="str">
        <x:v>当前阻塞</x:v>
      </x:c>
      <x:c r="B15" s="18" t="str">
        <x:v>是</x:v>
      </x:c>
      <x:c r="C15" s="18" t="str">
        <x:v>参数别名源树未收录 runnable leaf</x:v>
      </x:c>
      <x:c r="D15" s="18" t="str"/>
      <x:c r="E15" s="18" t="str">
        <x:v>下一步</x:v>
      </x:c>
      <x:c r="F15" s="18" t="str">
        <x:v>完成</x:v>
      </x:c>
      <x:c r="G15" s="18" t="str">
        <x:v>已合并 main@e9de6856 并重跑门禁</x:v>
      </x:c>
      <x:c r="H15" s="18" t="str"/>
    </x:row>
  </x:sheetData>
  <x:mergeCells>
    <x:mergeCell ref="A1:H1"/>
    <x:mergeCell ref="A2:H2"/>
    <x:mergeCell ref="A4:B4"/>
    <x:mergeCell ref="C4:D4"/>
    <x:mergeCell ref="E4:F4"/>
    <x:mergeCell ref="G4:H4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45" hidden="0" customWidth="1"/>
    <x:col min="5" max="5" width="48" hidden="0" customWidth="1"/>
    <x:col min="6" max="6" width="14" hidden="0" customWidth="1"/>
    <x:col min="7" max="7" width="10" hidden="0" customWidth="1"/>
  </x:cols>
  <x:sheetData>
    <x:row r="1" ht="34" customHeight="1">
      <x:c r="A1" s="4" t="str">
        <x:v>Whiteboard 参数问题明细</x:v>
      </x:c>
      <x:c r="B1" s="4"/>
      <x:c r="C1" s="4"/>
      <x:c r="D1" s="4"/>
      <x:c r="E1" s="4"/>
      <x:c r="F1" s="4"/>
      <x:c r="G1" s="4"/>
    </x:row>
    <x:row r="2" ht="30" customHeight="1">
      <x:c r="A2" s="8" t="str">
        <x:v>冻结基线 f4474b57eb1db23b1638b9574be2f5dca368a360｜逐命令核对真实 Help/Cobra、运行时 Schema、Skill 与正式别名表</x:v>
      </x:c>
      <x:c r="B2" s="8"/>
      <x:c r="C2" s="8"/>
      <x:c r="D2" s="8"/>
      <x:c r="E2" s="8"/>
      <x:c r="F2" s="8"/>
      <x:c r="G2" s="8"/>
    </x:row>
    <x:row r="4" ht="28" customHeight="1">
      <x:c r="A4" s="14" t="str">
        <x:v>序号</x:v>
      </x:c>
      <x:c r="B4" s="14" t="str">
        <x:v>命令</x:v>
      </x:c>
      <x:c r="C4" s="14" t="str">
        <x:v>真实参数焦点</x:v>
      </x:c>
      <x:c r="D4" s="14" t="str">
        <x:v>参数幻觉风险</x:v>
      </x:c>
      <x:c r="E4" s="14" t="str">
        <x:v>候选处理</x:v>
      </x:c>
      <x:c r="F4" s="14" t="str">
        <x:v>落地能力</x:v>
      </x:c>
      <x:c r="G4" s="14" t="str">
        <x:v>风险等级</x:v>
      </x:c>
    </x:row>
    <x:row r="5" ht="62" customHeight="1">
      <x:c r="A5" s="18" t="n">
        <x:v>1</x:v>
      </x:c>
      <x:c r="B5" s="18" t="str">
        <x:v>whiteboard +query</x:v>
      </x:c>
      <x:c r="C5" s="18" t="str">
        <x:v>node,part-id</x:v>
      </x:c>
      <x:c r="D5" s="18" t="str">
        <x:v>运行时 Help/Schema 可见，但 go generate 使用的官方参数别名源树未收录该 runnable leaf</x:v>
      </x:c>
      <x:c r="E5" s="18" t="str">
        <x:v>现有 param_concepts 链路无法安全落地；保持候选不变并登记框架缺口</x:v>
      </x:c>
      <x:c r="F5" s="18" t="str">
        <x:v>仅保护</x:v>
      </x:c>
      <x:c r="G5" s="18" t="str">
        <x:v>中</x:v>
      </x:c>
    </x:row>
    <x:row r="6" ht="62" customHeight="1">
      <x:c r="A6" s="19" t="n">
        <x:v>2</x:v>
      </x:c>
      <x:c r="B6" s="19" t="str">
        <x:v>whiteboard +update</x:v>
      </x:c>
      <x:c r="C6" s="19" t="str">
        <x:v>node,part-id,source</x:v>
      </x:c>
      <x:c r="D6" s="19" t="str">
        <x:v>除源树缺口外，source 的裸 file-path 还需要补 @，不满足原值传递</x:v>
      </x:c>
      <x:c r="E6" s="19" t="str">
        <x:v>不写入不可达 override；不得把 file-path 映射到 source</x:v>
      </x:c>
      <x:c r="F6" s="19" t="str">
        <x:v>仅保护</x:v>
      </x:c>
      <x:c r="G6" s="19" t="str">
        <x:v>高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42" hidden="0" customWidth="1"/>
    <x:col min="5" max="5" width="46" hidden="0" customWidth="1"/>
    <x:col min="6" max="6" width="42" hidden="0" customWidth="1"/>
    <x:col min="7" max="7" width="14" hidden="0" customWidth="1"/>
  </x:cols>
  <x:sheetData>
    <x:row r="1" ht="34" customHeight="1">
      <x:c r="A1" s="4" t="str">
        <x:v>Whiteboard 兜底解决方案</x:v>
      </x:c>
      <x:c r="B1" s="4"/>
      <x:c r="C1" s="4"/>
      <x:c r="D1" s="4"/>
      <x:c r="E1" s="4"/>
      <x:c r="F1" s="4"/>
      <x:c r="G1" s="4"/>
    </x:row>
    <x:row r="2" ht="30" customHeight="1">
      <x:c r="A2" s="8" t="str">
        <x:v>仅接受同实体、同角色、同值域、同基数且值原样传递的映射；共新增 0 条 fixture</x:v>
      </x:c>
      <x:c r="B2" s="8"/>
      <x:c r="C2" s="8"/>
      <x:c r="D2" s="8"/>
      <x:c r="E2" s="8"/>
      <x:c r="F2" s="8"/>
      <x:c r="G2" s="8"/>
    </x:row>
    <x:row r="4" ht="28" customHeight="1">
      <x:c r="A4" s="14" t="str">
        <x:v>类型</x:v>
      </x:c>
      <x:c r="B4" s="14" t="str">
        <x:v>Concept / 命令</x:v>
      </x:c>
      <x:c r="C4" s="14" t="str">
        <x:v>处理</x:v>
      </x:c>
      <x:c r="D4" s="14" t="str">
        <x:v>作用范围</x:v>
      </x:c>
      <x:c r="E4" s="14" t="str">
        <x:v>映射或说明</x:v>
      </x:c>
      <x:c r="F4" s="14" t="str">
        <x:v>保护边界</x:v>
      </x:c>
      <x:c r="G4" s="14" t="str">
        <x:v>审计结论</x:v>
      </x:c>
    </x:row>
    <x:row r="5" ht="64" customHeight="1">
      <x:c r="A5" s="18" t="str">
        <x:v>不落地</x:v>
      </x:c>
      <x:c r="B5" s="18" t="str">
        <x:v>Whiteboard 参数别名源树缺口</x:v>
      </x:c>
      <x:c r="C5" s="18" t="str">
        <x:v>候选保持正式表原样</x:v>
      </x:c>
      <x:c r="D5" s="18" t="str">
        <x:v>whiteboard +query / +update</x:v>
      </x:c>
      <x:c r="E5" s="18" t="str">
        <x:v>运行时 Help/Schema 可达，但 go generate 的官方别名源树不可达</x:v>
      </x:c>
      <x:c r="F5" s="18" t="str">
        <x:v>不得写入 stale override；source 文件路径还需要 @ 值转换</x:v>
      </x:c>
      <x:c r="G5" s="18" t="str">
        <x:v>框架阻塞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48" hidden="0" customWidth="1"/>
    <x:col min="4" max="4" width="15" hidden="0" customWidth="1"/>
    <x:col min="5" max="5" width="45" hidden="0" customWidth="1"/>
    <x:col min="6" max="6" width="48" hidden="0" customWidth="1"/>
  </x:cols>
  <x:sheetData>
    <x:row r="1" ht="34" customHeight="1">
      <x:c r="A1" s="4" t="str">
        <x:v>Whiteboard 当前无法解决</x:v>
      </x:c>
      <x:c r="B1" s="4"/>
      <x:c r="C1" s="4"/>
      <x:c r="D1" s="4"/>
      <x:c r="E1" s="4"/>
      <x:c r="F1" s="4"/>
    </x:row>
    <x:row r="2" ht="30" customHeight="1">
      <x:c r="A2" s="8" t="str">
        <x:v>此页专列不应被别名表“强行拟合”的边界，避免把保护项误写成覆盖项</x:v>
      </x:c>
      <x:c r="B2" s="8"/>
      <x:c r="C2" s="8"/>
      <x:c r="D2" s="8"/>
      <x:c r="E2" s="8"/>
      <x:c r="F2" s="8"/>
    </x:row>
    <x:row r="4" ht="28" customHeight="1">
      <x:c r="A4" s="25" t="str">
        <x:v>序号</x:v>
      </x:c>
      <x:c r="B4" s="25" t="str">
        <x:v>命令</x:v>
      </x:c>
      <x:c r="C4" s="25" t="str">
        <x:v>不能自动解决的原因</x:v>
      </x:c>
      <x:c r="D4" s="25" t="str">
        <x:v>当前状态</x:v>
      </x:c>
      <x:c r="E4" s="25" t="str">
        <x:v>已提供的保护</x:v>
      </x:c>
      <x:c r="F4" s="25" t="str">
        <x:v>后续路径</x:v>
      </x:c>
    </x:row>
    <x:row r="5" ht="66" customHeight="1">
      <x:c r="A5" s="18" t="n">
        <x:v>1</x:v>
      </x:c>
      <x:c r="B5" s="18" t="str">
        <x:v>whiteboard +query</x:v>
      </x:c>
      <x:c r="C5" s="18" t="str">
        <x:v>运行时 Help/Schema 可见，但 go generate 使用的官方参数别名源树未收录该 runnable leaf</x:v>
      </x:c>
      <x:c r="D5" s="18" t="str">
        <x:v>仅保护</x:v>
      </x:c>
      <x:c r="E5" s="18" t="str">
        <x:v>现有 param_concepts 链路无法安全落地；保持候选不变并登记框架缺口</x:v>
      </x:c>
      <x:c r="F5" s="18" t="str">
        <x:v>需修改真实 CLI/框架，或由 Agent 明确选择真实参数；别名表不做查找、转换、枚举翻译或基数变化</x:v>
      </x:c>
    </x:row>
    <x:row r="6" ht="66" customHeight="1">
      <x:c r="A6" s="19" t="n">
        <x:v>2</x:v>
      </x:c>
      <x:c r="B6" s="19" t="str">
        <x:v>whiteboard +update</x:v>
      </x:c>
      <x:c r="C6" s="19" t="str">
        <x:v>除源树缺口外，source 的裸 file-path 还需要补 @，不满足原值传递</x:v>
      </x:c>
      <x:c r="D6" s="19" t="str">
        <x:v>仅保护</x:v>
      </x:c>
      <x:c r="E6" s="19" t="str">
        <x:v>不写入不可达 override；不得把 file-path 映射到 source</x:v>
      </x:c>
      <x:c r="F6" s="19" t="str">
        <x:v>需修改真实 CLI/框架，或由 Agent 明确选择真实参数；别名表不做查找、转换、枚举翻译或基数变化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4" hidden="0" customWidth="1"/>
    <x:col min="4" max="4" width="64" hidden="0" customWidth="1"/>
  </x:cols>
  <x:sheetData>
    <x:row r="1" ht="34" customHeight="1">
      <x:c r="A1" s="4" t="str">
        <x:v>Whiteboard 分析依据</x:v>
      </x:c>
      <x:c r="B1" s="4"/>
      <x:c r="C1" s="4"/>
      <x:c r="D1" s="4"/>
    </x:row>
    <x:row r="2" ht="30" customHeight="1">
      <x:c r="A2" s="8" t="str">
        <x:v>事实优先级：同提交 Help/Cobra &gt; 同提交运行时 Schema &gt; Skill &gt; 正式参数兜底配置</x:v>
      </x:c>
      <x:c r="B2" s="8"/>
      <x:c r="C2" s="8"/>
      <x:c r="D2" s="8"/>
    </x:row>
    <x:row r="4" ht="28" customHeight="1">
      <x:c r="A4" s="31" t="str">
        <x:v>依据类型</x:v>
      </x:c>
      <x:c r="B4" s="31" t="str">
        <x:v>来源 / 命令</x:v>
      </x:c>
      <x:c r="C4" s="31" t="str">
        <x:v>状态</x:v>
      </x:c>
      <x:c r="D4" s="31" t="str">
        <x:v>结论</x:v>
      </x:c>
    </x:row>
    <x:row r="5" ht="48" customHeight="1">
      <x:c r="A5" s="18" t="str">
        <x:v>冻结基线</x:v>
      </x:c>
      <x:c r="B5" s="18" t="str">
        <x:v>origin/main@f4474b57eb1db23b1638b9574be2f5dca368a360</x:v>
      </x:c>
      <x:c r="C5" s="18" t="str">
        <x:v>通过</x:v>
      </x:c>
      <x:c r="D5" s="18" t="str">
        <x:v>同提交构建与审计，避免跨版本事实混用</x:v>
      </x:c>
    </x:row>
    <x:row r="6" ht="48" customHeight="1">
      <x:c r="A6" s="19" t="str">
        <x:v>真实 Help/Cobra</x:v>
      </x:c>
      <x:c r="B6" s="19" t="str">
        <x:v>./dws &lt;product&gt; ... --help</x:v>
      </x:c>
      <x:c r="C6" s="19" t="str">
        <x:v>已核对</x:v>
      </x:c>
      <x:c r="D6" s="19" t="str">
        <x:v>真实可执行 flag 与约束为最高优先级</x:v>
      </x:c>
    </x:row>
    <x:row r="7" ht="48" customHeight="1">
      <x:c r="A7" s="18" t="str">
        <x:v>运行时 Schema</x:v>
      </x:c>
      <x:c r="B7" s="18" t="str">
        <x:v>./dws schema --cli-path &lt;path&gt; --compact -f json</x:v>
      </x:c>
      <x:c r="C7" s="18" t="str">
        <x:v>已核对</x:v>
      </x:c>
      <x:c r="D7" s="18" t="str">
        <x:v>同一二进制运行时组装，不使用提交态 Catalog</x:v>
      </x:c>
    </x:row>
    <x:row r="8" ht="48" customHeight="1">
      <x:c r="A8" s="19" t="str">
        <x:v>产品 Skill</x:v>
      </x:c>
      <x:c r="B8" s="19" t="str">
        <x:v>skills/multi 对应 product references</x:v>
      </x:c>
      <x:c r="C8" s="19" t="str">
        <x:v>已核对</x:v>
      </x:c>
      <x:c r="D8" s="19" t="str">
        <x:v>用于核对推荐路径、上下文传递和业务边界</x:v>
      </x:c>
    </x:row>
    <x:row r="9" ht="48" customHeight="1">
      <x:c r="A9" s="18" t="str">
        <x:v>正式别名表</x:v>
      </x:c>
      <x:c r="B9" s="18" t="str">
        <x:v>internal/cli/param_concepts.json</x:v>
      </x:c>
      <x:c r="C9" s="18" t="str">
        <x:v>已核对</x:v>
      </x:c>
      <x:c r="D9" s="18" t="str">
        <x:v>五产品修订候选已合入正式表；评审快照保留在 docs</x:v>
      </x:c>
    </x:row>
    <x:row r="10" ht="48" customHeight="1">
      <x:c r="A10" s="19" t="str">
        <x:v>测试模板</x:v>
      </x:c>
      <x:c r="B10" s="19" t="str">
        <x:v>internal/app/param_alias_payload_equivalence_test.go</x:v>
      </x:c>
      <x:c r="C10" s="19" t="str">
        <x:v>已补齐</x:v>
      </x:c>
      <x:c r="D10" s="19" t="str">
        <x:v>Whiteboard 正式规则仍为 0；模板用于验证不可达边界未被误放开</x:v>
      </x:c>
    </x:row>
    <x:row r="11" ht="48" customHeight="1">
      <x:c r="A11" s="18" t="str">
        <x:v>验证门禁</x:v>
      </x:c>
      <x:c r="B11" s="18" t="str">
        <x:v>JSON/Schema 闭合校验</x:v>
      </x:c>
      <x:c r="C11" s="18" t="str">
        <x:v>通过</x:v>
      </x:c>
      <x:c r="D11" s="18" t="str">
        <x:v>隔离候选替换、执行、自动恢复</x:v>
      </x:c>
    </x:row>
    <x:row r="12" ht="48" customHeight="1">
      <x:c r="A12" s="19" t="str">
        <x:v>验证门禁</x:v>
      </x:c>
      <x:c r="B12" s="19" t="str">
        <x:v>go generate / reduction</x:v>
      </x:c>
      <x:c r="C12" s="19" t="str">
        <x:v>通过</x:v>
      </x:c>
      <x:c r="D12" s="19" t="str">
        <x:v>隔离候选替换、执行、自动恢复</x:v>
      </x:c>
    </x:row>
    <x:row r="13" ht="48" customHeight="1">
      <x:c r="A13" s="18" t="str">
        <x:v>验证门禁</x:v>
      </x:c>
      <x:c r="B13" s="18" t="str">
        <x:v>全部 PreParse fixture</x:v>
      </x:c>
      <x:c r="C13" s="18" t="str">
        <x:v>通过</x:v>
      </x:c>
      <x:c r="D13" s="18" t="str">
        <x:v>隔离候选替换、执行、自动恢复</x:v>
      </x:c>
    </x:row>
    <x:row r="14" ht="48" customHeight="1">
      <x:c r="A14" s="19" t="str">
        <x:v>验证门禁</x:v>
      </x:c>
      <x:c r="B14" s="19" t="str">
        <x:v>正式规则完整命令模板</x:v>
      </x:c>
      <x:c r="C14" s="19" t="str">
        <x:v>通过</x:v>
      </x:c>
      <x:c r="D14" s="19" t="str">
        <x:v>正式规则已启用；完整命令模板覆盖 alias、保护与确认边界</x:v>
      </x:c>
    </x:row>
    <x:row r="15" ht="48" customHeight="1">
      <x:c r="A15" s="18" t="str">
        <x:v>验证门禁</x:v>
      </x:c>
      <x:c r="B15" s="18" t="str">
        <x:v>移除 --yes 后确认不可绕过</x:v>
      </x:c>
      <x:c r="C15" s="18" t="str">
        <x:v>通过</x:v>
      </x:c>
      <x:c r="D15" s="18" t="str">
        <x:v>隔离候选替换、执行、自动恢复</x:v>
      </x:c>
    </x:row>
    <x:row r="16" ht="48" customHeight="1">
      <x:c r="A16" s="19" t="str">
        <x:v>验证门禁</x:v>
      </x:c>
      <x:c r="B16" s="19" t="str">
        <x:v>非目标别名回归</x:v>
      </x:c>
      <x:c r="C16" s="19" t="str">
        <x:v>通过</x:v>
      </x:c>
      <x:c r="D16" s="19" t="str">
        <x:v>隔离候选替换、执行、自动恢复</x:v>
      </x:c>
    </x:row>
    <x:row r="17" ht="48" customHeight="1">
      <x:c r="A17" s="18" t="str">
        <x:v>验证门禁</x:v>
      </x:c>
      <x:c r="B17" s="18" t="str">
        <x:v>check-generated-drift.sh</x:v>
      </x:c>
      <x:c r="C17" s="18" t="str">
        <x:v>通过</x:v>
      </x:c>
      <x:c r="D17" s="18" t="str">
        <x:v>隔离候选替换、执行、自动恢复</x:v>
      </x:c>
    </x:row>
    <x:row r="18" ht="48" customHeight="1">
      <x:c r="A18" s="19" t="str">
        <x:v>验证门禁</x:v>
      </x:c>
      <x:c r="B18" s="19" t="str">
        <x:v>check-schema-catalog.sh</x:v>
      </x:c>
      <x:c r="C18" s="19" t="str">
        <x:v>通过</x:v>
      </x:c>
      <x:c r="D18" s="19" t="str">
        <x:v>隔离候选替换、执行、自动恢复</x:v>
      </x:c>
    </x:row>
    <x:row r="19" ht="48" customHeight="1">
      <x:c r="A19" s="18" t="str">
        <x:v>验证门禁</x:v>
      </x:c>
      <x:c r="B19" s="18" t="str">
        <x:v>正式别名表零差异</x:v>
      </x:c>
      <x:c r="C19" s="18" t="str">
        <x:v>通过</x:v>
      </x:c>
      <x:c r="D19" s="18" t="str">
        <x:v>正式表已合入；最新 main 命令迁移与五产品增量同时保留</x:v>
      </x:c>
    </x:row>
  </x:sheetData>
  <x:mergeCells>
    <x:mergeCell ref="A1:D1"/>
    <x:mergeCell ref="A2:D2"/>
  </x:mergeCells>
  <x:pageMargins left="0.7" right="0.7" top="0.75" bottom="0.75" header="0.3" footer="0.3"/>
</x:worksheet>
</file>